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XINYIWA\Desktop\UC\NAM8646083 ETA 2026.10.05\"/>
    </mc:Choice>
  </mc:AlternateContent>
  <xr:revisionPtr revIDLastSave="0" documentId="13_ncr:1_{150FB36F-392E-4DD6-ADC8-2558CA2FAF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le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  <c r="G7" i="1"/>
  <c r="G6" i="1"/>
  <c r="G5" i="1"/>
  <c r="G4" i="1"/>
  <c r="G3" i="1"/>
  <c r="F8" i="1"/>
  <c r="F7" i="1"/>
  <c r="F6" i="1"/>
  <c r="F5" i="1"/>
  <c r="F4" i="1"/>
  <c r="F3" i="1"/>
</calcChain>
</file>

<file path=xl/sharedStrings.xml><?xml version="1.0" encoding="utf-8"?>
<sst xmlns="http://schemas.openxmlformats.org/spreadsheetml/2006/main" count="44" uniqueCount="30">
  <si>
    <t>AVIS/Shipping Log No.</t>
  </si>
  <si>
    <t>MBZ /BOL</t>
  </si>
  <si>
    <t>Container No.</t>
  </si>
  <si>
    <t>Container Type</t>
  </si>
  <si>
    <t>Seal Number</t>
  </si>
  <si>
    <t>Container VOL(m³)</t>
  </si>
  <si>
    <t>Container Load(KG)</t>
  </si>
  <si>
    <t>40'</t>
  </si>
  <si>
    <t>NAM8646083</t>
  </si>
  <si>
    <t>10889847</t>
  </si>
  <si>
    <t>10889848</t>
  </si>
  <si>
    <t>10889921</t>
  </si>
  <si>
    <t>10890013</t>
  </si>
  <si>
    <t>10890015</t>
  </si>
  <si>
    <t>10890034</t>
  </si>
  <si>
    <t>CMAU9676069</t>
  </si>
  <si>
    <t>ECMU7114194</t>
  </si>
  <si>
    <t>BEAU5627639</t>
  </si>
  <si>
    <t>CMAU4445370</t>
  </si>
  <si>
    <t>7937096</t>
  </si>
  <si>
    <t>7940010</t>
  </si>
  <si>
    <t>7937149</t>
  </si>
  <si>
    <t>7940013</t>
  </si>
  <si>
    <t>取自gvShipLog的D列的booking number</t>
  </si>
  <si>
    <t>取自gvShipLog-M列BOL</t>
  </si>
  <si>
    <t>取自gvShipLog-J列Container</t>
  </si>
  <si>
    <t>取自gvShipLog-K列Container Type</t>
  </si>
  <si>
    <t>取自gvShipLog-L列Seal Number</t>
  </si>
  <si>
    <t>取自提单的GROSS WEIGHT
(19)字段</t>
  </si>
  <si>
    <t>取自提单中的MEASUREMENT(20)字段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</si>
</sst>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等线"/>
      <family val="2"/>
      <scheme val="minor"/>
    </font>
    <font>
      <sz val="11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/>
    <xf numFmtId="2" fontId="1" fillId="0" borderId="0" xfId="0" applyNumberFormat="1" applyFont="1" applyAlignment="1">
      <alignment vertical="center"/>
    </xf>
    <xf numFmtId="1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vertical="center"/>
    </xf>
    <xf numFmtId="2" fontId="1" fillId="2" borderId="0" xfId="0" applyNumberFormat="1" applyFont="1" applyFill="1" applyAlignment="1">
      <alignment vertical="center" wrapText="1"/>
    </xf>
    <xf numFmtId="1" fontId="1" fillId="2" borderId="0" xfId="0" applyNumberFormat="1" applyFont="1" applyFill="1" applyAlignment="1">
      <alignment vertical="center" wrapText="1"/>
    </xf>
    <xf numFmtId="164" fontId="1" fillId="2" borderId="0" xfId="0" applyNumberFormat="1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MBPTS\IE\1.%20Import\1.%20Inbound%20Record\4.1.5%20Inbound%20Daily%20Operation%20Documentation\1.6%20Documentation\1.6.12%20Seafreight\GZ\2026\MBUSI\NAM8646083%20ETA%202026.10.05\BL.xlsx" TargetMode="External"/><Relationship Id="rId1" Type="http://schemas.openxmlformats.org/officeDocument/2006/relationships/externalLinkPath" Target="B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elle1"/>
    </sheetNames>
    <sheetDataSet>
      <sheetData sheetId="0">
        <row r="1">
          <cell r="D1" t="str">
            <v>Container No.</v>
          </cell>
          <cell r="E1" t="str">
            <v>Container Type</v>
          </cell>
          <cell r="F1" t="str">
            <v>Seal No.</v>
          </cell>
          <cell r="G1" t="str">
            <v>Package Qty</v>
          </cell>
          <cell r="H1" t="str">
            <v>Container Load(KG)</v>
          </cell>
          <cell r="I1" t="str">
            <v>Container VOL(m³）</v>
          </cell>
        </row>
        <row r="2">
          <cell r="D2" t="str">
            <v>CMAU9676069</v>
          </cell>
          <cell r="E2" t="str">
            <v>40'</v>
          </cell>
          <cell r="F2">
            <v>7937096</v>
          </cell>
          <cell r="G2">
            <v>24</v>
          </cell>
          <cell r="H2">
            <v>2223</v>
          </cell>
          <cell r="I2">
            <v>48.942999999999998</v>
          </cell>
        </row>
        <row r="3">
          <cell r="D3" t="str">
            <v>ECMU7114194</v>
          </cell>
          <cell r="E3" t="str">
            <v>40'</v>
          </cell>
          <cell r="F3">
            <v>7940010</v>
          </cell>
          <cell r="G3">
            <v>8</v>
          </cell>
          <cell r="H3">
            <v>746</v>
          </cell>
          <cell r="I3">
            <v>50.75</v>
          </cell>
        </row>
        <row r="4">
          <cell r="D4" t="str">
            <v>BEAU5627639</v>
          </cell>
          <cell r="E4" t="str">
            <v>40'</v>
          </cell>
          <cell r="F4">
            <v>7937149</v>
          </cell>
          <cell r="G4">
            <v>20</v>
          </cell>
          <cell r="H4">
            <v>3077</v>
          </cell>
          <cell r="I4">
            <v>47.942999999999998</v>
          </cell>
        </row>
        <row r="5">
          <cell r="D5" t="str">
            <v>CMAU4445370</v>
          </cell>
          <cell r="E5" t="str">
            <v>40'</v>
          </cell>
          <cell r="F5">
            <v>7940013</v>
          </cell>
          <cell r="G5">
            <v>9</v>
          </cell>
          <cell r="H5">
            <v>748.5</v>
          </cell>
          <cell r="I5">
            <v>52.838999999999999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E16" sqref="E16"/>
    </sheetView>
  </sheetViews>
  <sheetFormatPr defaultRowHeight="13.8" x14ac:dyDescent="0.25"/>
  <cols>
    <col min="1" max="1" width="25.5546875" bestFit="1" customWidth="1"/>
    <col min="2" max="2" width="15.88671875" customWidth="1"/>
    <col min="3" max="3" width="15.88671875" bestFit="1" customWidth="1"/>
    <col min="4" max="4" width="17.33203125" bestFit="1" customWidth="1"/>
    <col min="5" max="5" width="14.88671875" bestFit="1" customWidth="1"/>
    <col min="6" max="6" width="20.88671875" bestFit="1" customWidth="1"/>
    <col min="7" max="7" width="22" bestFit="1" customWidth="1"/>
  </cols>
  <sheetData>
    <row r="1" spans="1:7" s="1" customFormat="1" ht="15.6" x14ac:dyDescent="0.25">
      <c r="A1" s="3" t="s">
        <v>0</v>
      </c>
      <c r="B1" s="4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5" t="s">
        <v>6</v>
      </c>
    </row>
    <row r="2" spans="1:7" s="1" customFormat="1" ht="46.8" x14ac:dyDescent="0.25">
      <c r="A2" s="6" t="s">
        <v>23</v>
      </c>
      <c r="B2" s="7" t="s">
        <v>24</v>
      </c>
      <c r="C2" s="6" t="s">
        <v>25</v>
      </c>
      <c r="D2" s="6" t="s">
        <v>26</v>
      </c>
      <c r="E2" s="7" t="s">
        <v>27</v>
      </c>
      <c r="F2" s="8" t="s">
        <v>29</v>
      </c>
      <c r="G2" s="8" t="s">
        <v>28</v>
      </c>
    </row>
    <row r="3" spans="1:7" x14ac:dyDescent="0.25">
      <c r="A3" s="2" t="s">
        <v>8</v>
      </c>
      <c r="B3" s="2" t="s">
        <v>9</v>
      </c>
      <c r="C3" s="2" t="s">
        <v>15</v>
      </c>
      <c r="D3" t="s">
        <v>7</v>
      </c>
      <c r="E3" s="2" t="s">
        <v>19</v>
      </c>
      <c r="F3">
        <f>VLOOKUP(C3,[1]Tabelle1!$D$1:$I$5,6,0)</f>
        <v>48.942999999999998</v>
      </c>
      <c r="G3">
        <f>VLOOKUP(C3,[1]Tabelle1!$D$1:$H$5,5,0)</f>
        <v>2223</v>
      </c>
    </row>
    <row r="4" spans="1:7" x14ac:dyDescent="0.25">
      <c r="A4" s="2" t="s">
        <v>8</v>
      </c>
      <c r="B4" s="2" t="s">
        <v>10</v>
      </c>
      <c r="C4" s="2" t="s">
        <v>15</v>
      </c>
      <c r="D4" t="s">
        <v>7</v>
      </c>
      <c r="E4" s="2" t="s">
        <v>19</v>
      </c>
      <c r="F4">
        <f>VLOOKUP(C4,[1]Tabelle1!$D$1:$I$5,6,0)</f>
        <v>48.942999999999998</v>
      </c>
      <c r="G4">
        <f>VLOOKUP(C4,[1]Tabelle1!$D$1:$H$5,5,0)</f>
        <v>2223</v>
      </c>
    </row>
    <row r="5" spans="1:7" x14ac:dyDescent="0.25">
      <c r="A5" s="2" t="s">
        <v>8</v>
      </c>
      <c r="B5" s="2" t="s">
        <v>11</v>
      </c>
      <c r="C5" s="2" t="s">
        <v>16</v>
      </c>
      <c r="D5" t="s">
        <v>7</v>
      </c>
      <c r="E5" s="2" t="s">
        <v>20</v>
      </c>
      <c r="F5">
        <f>VLOOKUP(C5,[1]Tabelle1!$D$1:$I$5,6,0)</f>
        <v>50.75</v>
      </c>
      <c r="G5">
        <f>VLOOKUP(C5,[1]Tabelle1!$D$1:$H$5,5,0)</f>
        <v>746</v>
      </c>
    </row>
    <row r="6" spans="1:7" x14ac:dyDescent="0.25">
      <c r="A6" s="2" t="s">
        <v>8</v>
      </c>
      <c r="B6" s="2" t="s">
        <v>12</v>
      </c>
      <c r="C6" s="2" t="s">
        <v>17</v>
      </c>
      <c r="D6" t="s">
        <v>7</v>
      </c>
      <c r="E6" s="2" t="s">
        <v>21</v>
      </c>
      <c r="F6">
        <f>VLOOKUP(C6,[1]Tabelle1!$D$1:$I$5,6,0)</f>
        <v>47.942999999999998</v>
      </c>
      <c r="G6">
        <f>VLOOKUP(C6,[1]Tabelle1!$D$1:$H$5,5,0)</f>
        <v>3077</v>
      </c>
    </row>
    <row r="7" spans="1:7" x14ac:dyDescent="0.25">
      <c r="A7" s="2" t="s">
        <v>8</v>
      </c>
      <c r="B7" s="2" t="s">
        <v>13</v>
      </c>
      <c r="C7" s="2" t="s">
        <v>17</v>
      </c>
      <c r="D7" t="s">
        <v>7</v>
      </c>
      <c r="E7" s="2" t="s">
        <v>21</v>
      </c>
      <c r="F7">
        <f>VLOOKUP(C7,[1]Tabelle1!$D$1:$I$5,6,0)</f>
        <v>47.942999999999998</v>
      </c>
      <c r="G7">
        <f>VLOOKUP(C7,[1]Tabelle1!$D$1:$H$5,5,0)</f>
        <v>3077</v>
      </c>
    </row>
    <row r="8" spans="1:7" x14ac:dyDescent="0.25">
      <c r="A8" s="2" t="s">
        <v>8</v>
      </c>
      <c r="B8" s="2" t="s">
        <v>14</v>
      </c>
      <c r="C8" s="2" t="s">
        <v>18</v>
      </c>
      <c r="D8" t="s">
        <v>7</v>
      </c>
      <c r="E8" s="2" t="s">
        <v>22</v>
      </c>
      <c r="F8">
        <f>VLOOKUP(C8,[1]Tabelle1!$D$1:$I$5,6,0)</f>
        <v>52.838999999999999</v>
      </c>
      <c r="G8">
        <f>VLOOKUP(C8,[1]Tabelle1!$D$1:$H$5,5,0)</f>
        <v>748.5</v>
      </c>
    </row>
  </sheetData>
  <dataValidations count="1">
    <dataValidation type="list" allowBlank="1" showInputMessage="1" showErrorMessage="1" sqref="D1" xr:uid="{77BA6C24-C4EB-4BA1-AC7F-0FD8ADCEFFE0}">
      <formula1>"20',40'"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696A0AD5B715F54C8C2B7B67E88808CA" ma:contentTypeVersion="0" ma:contentTypeDescription="新建文档。" ma:contentTypeScope="" ma:versionID="e1b9a49dd7355ccb584299f4e1f385d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7e78411db53ad265f06effec81d60ae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533C517-AD55-4FED-BE05-11083C9D5D90}"/>
</file>

<file path=customXml/itemProps2.xml><?xml version="1.0" encoding="utf-8"?>
<ds:datastoreItem xmlns:ds="http://schemas.openxmlformats.org/officeDocument/2006/customXml" ds:itemID="{8F4D3126-2EF4-499C-A762-D7CC655B97AF}"/>
</file>

<file path=customXml/itemProps3.xml><?xml version="1.0" encoding="utf-8"?>
<ds:datastoreItem xmlns:ds="http://schemas.openxmlformats.org/officeDocument/2006/customXml" ds:itemID="{8B647C9F-1C0D-45D8-8555-130AD7816702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Zhao, Nan N. (369)</dc:creator>
  <cp:lastModifiedBy>Wang, Xinyi (369)</cp:lastModifiedBy>
  <dcterms:created xsi:type="dcterms:W3CDTF">2015-06-05T18:19:34Z</dcterms:created>
  <dcterms:modified xsi:type="dcterms:W3CDTF">2026-09-04T15:18:15Z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4dbb1d-991d-4bbd-aad5-33bac1d8ffaf_Enabled">
    <vt:lpwstr>true</vt:lpwstr>
  </property>
  <property fmtid="{D5CDD505-2E9C-101B-9397-08002B2CF9AE}" pid="3" name="MSIP_Label_924dbb1d-991d-4bbd-aad5-33bac1d8ffaf_SetDate">
    <vt:lpwstr>2026-03-28T14:19:04Z</vt:lpwstr>
  </property>
  <property fmtid="{D5CDD505-2E9C-101B-9397-08002B2CF9AE}" pid="4" name="MSIP_Label_924dbb1d-991d-4bbd-aad5-33bac1d8ffaf_Method">
    <vt:lpwstr>Standard</vt:lpwstr>
  </property>
  <property fmtid="{D5CDD505-2E9C-101B-9397-08002B2CF9AE}" pid="5" name="MSIP_Label_924dbb1d-991d-4bbd-aad5-33bac1d8ffaf_Name">
    <vt:lpwstr>924dbb1d-991d-4bbd-aad5-33bac1d8ffaf</vt:lpwstr>
  </property>
  <property fmtid="{D5CDD505-2E9C-101B-9397-08002B2CF9AE}" pid="6" name="MSIP_Label_924dbb1d-991d-4bbd-aad5-33bac1d8ffaf_SiteId">
    <vt:lpwstr>9652d7c2-1ccf-4940-8151-4a92bd474ed0</vt:lpwstr>
  </property>
  <property fmtid="{D5CDD505-2E9C-101B-9397-08002B2CF9AE}" pid="7" name="MSIP_Label_924dbb1d-991d-4bbd-aad5-33bac1d8ffaf_ActionId">
    <vt:lpwstr>d9180a71-9292-4c76-a3b0-edf56cbb6fbd</vt:lpwstr>
  </property>
  <property fmtid="{D5CDD505-2E9C-101B-9397-08002B2CF9AE}" pid="8" name="MSIP_Label_924dbb1d-991d-4bbd-aad5-33bac1d8ffaf_ContentBits">
    <vt:lpwstr>0</vt:lpwstr>
  </property>
  <property fmtid="{D5CDD505-2E9C-101B-9397-08002B2CF9AE}" pid="9" name="MSIP_Label_924dbb1d-991d-4bbd-aad5-33bac1d8ffaf_Tag">
    <vt:lpwstr>10, 3, 0, 1</vt:lpwstr>
  </property>
  <property fmtid="{D5CDD505-2E9C-101B-9397-08002B2CF9AE}" pid="10" name="ContentTypeId">
    <vt:lpwstr>0x010100696A0AD5B715F54C8C2B7B67E88808CA</vt:lpwstr>
  </property>
</Properties>
</file>